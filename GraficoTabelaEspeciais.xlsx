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03093B54-3039-45D6-AC2F-2879B4D83C7E}" xr6:coauthVersionLast="36" xr6:coauthVersionMax="36" xr10:uidLastSave="{00000000-0000-0000-0000-000000000000}"/>
  <bookViews>
    <workbookView xWindow="0" yWindow="0" windowWidth="28800" windowHeight="12105" activeTab="1"/>
  </bookViews>
  <sheets>
    <sheet name="despesa_funcao" sheetId="1" r:id="rId1"/>
    <sheet name="analise 2.0" sheetId="3" r:id="rId2"/>
    <sheet name="analise" sheetId="2" r:id="rId3"/>
  </sheets>
  <calcPr calcId="0"/>
  <pivotCaches>
    <pivotCache cacheId="6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</calcChain>
</file>

<file path=xl/sharedStrings.xml><?xml version="1.0" encoding="utf-8"?>
<sst xmlns="http://schemas.openxmlformats.org/spreadsheetml/2006/main" count="2707" uniqueCount="568">
  <si>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</si>
  <si>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</si>
  <si>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</si>
  <si>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</si>
  <si>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</si>
  <si>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</si>
  <si>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</si>
  <si>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</si>
  <si>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</si>
  <si>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</si>
  <si>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</si>
  <si>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</si>
  <si>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</si>
  <si>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</si>
  <si>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</si>
  <si>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</si>
  <si>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</si>
  <si>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</si>
  <si>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</si>
  <si>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</si>
  <si>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</si>
  <si>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</si>
  <si>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</si>
  <si>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</si>
  <si>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</si>
  <si>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</si>
  <si>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</si>
  <si>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</si>
  <si>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</si>
  <si>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</si>
  <si>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</si>
  <si>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</si>
  <si>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</si>
  <si>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</si>
  <si>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</si>
  <si>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</si>
  <si>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</si>
  <si>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</si>
  <si>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</si>
  <si>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</si>
  <si>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</si>
  <si>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</si>
  <si>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</si>
  <si>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</si>
  <si>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</si>
  <si>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</si>
  <si>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</si>
  <si>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</si>
  <si>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</si>
  <si>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</si>
  <si>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</si>
  <si>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</si>
  <si>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</si>
  <si>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</si>
  <si>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</si>
  <si>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</si>
  <si>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</si>
  <si>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</si>
  <si>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</si>
  <si>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</si>
  <si>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</si>
  <si>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</si>
  <si>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</si>
  <si>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</si>
  <si>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</si>
  <si>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</si>
  <si>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</si>
  <si>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</si>
  <si>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</si>
  <si>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</si>
  <si>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</si>
  <si>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</si>
  <si>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</si>
  <si>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</si>
  <si>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</si>
  <si>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</si>
  <si>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</si>
  <si>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</si>
  <si>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</si>
  <si>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</si>
  <si>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</si>
  <si>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</si>
  <si>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</si>
  <si>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</si>
  <si>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</si>
  <si>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</si>
  <si>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</si>
  <si>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</si>
  <si>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</si>
  <si>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</si>
  <si>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</si>
  <si>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</si>
  <si>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</si>
  <si>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</si>
  <si>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</si>
  <si>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</si>
  <si>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</si>
  <si>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</si>
  <si>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</si>
  <si>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</si>
  <si>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</si>
  <si>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</si>
  <si>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</si>
  <si>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</si>
  <si>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</si>
  <si>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</si>
  <si>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</si>
  <si>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</si>
  <si>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</si>
  <si>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</si>
  <si>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</si>
  <si>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</si>
  <si>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</si>
  <si>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</si>
  <si>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</si>
  <si>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</si>
  <si>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</si>
  <si>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</si>
  <si>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</si>
  <si>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</si>
  <si>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</si>
  <si>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</si>
  <si>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</si>
  <si>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</si>
  <si>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</si>
  <si>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</si>
  <si>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</si>
  <si>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</si>
  <si>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</si>
  <si>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</si>
  <si>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</si>
  <si>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</si>
  <si>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</si>
  <si>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</si>
  <si>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</si>
  <si>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</si>
  <si>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</si>
  <si>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</si>
  <si>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</si>
  <si>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</si>
  <si>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</si>
  <si>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</si>
  <si>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</si>
  <si>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</si>
  <si>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</si>
  <si>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</si>
  <si>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</si>
  <si>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</si>
  <si>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</si>
  <si>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</si>
  <si>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</si>
  <si>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</si>
  <si>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</si>
  <si>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</si>
  <si>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</si>
  <si>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</si>
  <si>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</si>
  <si>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</si>
  <si>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</si>
  <si>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</si>
  <si>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</si>
  <si>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</si>
  <si>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</si>
  <si>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</si>
  <si>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</si>
  <si>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</si>
  <si>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</si>
  <si>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</si>
  <si>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</si>
  <si>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</si>
  <si>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</si>
  <si>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</si>
  <si>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</si>
  <si>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</si>
  <si>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</si>
  <si>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</si>
  <si>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</si>
  <si>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</si>
  <si>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</si>
  <si>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</si>
  <si>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</si>
  <si>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</si>
  <si>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</si>
  <si>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</si>
  <si>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</si>
  <si>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</si>
  <si>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</si>
  <si>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</si>
  <si>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</si>
  <si>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</si>
  <si>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</si>
  <si>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</si>
  <si>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</si>
  <si>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</si>
  <si>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</si>
  <si>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</si>
  <si>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</si>
  <si>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</si>
  <si>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</si>
  <si>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</si>
  <si>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</si>
  <si>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</si>
  <si>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</si>
  <si>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</si>
  <si>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</si>
  <si>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</si>
  <si>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</si>
  <si>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</si>
  <si>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</si>
  <si>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</si>
  <si>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</si>
  <si>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</si>
  <si>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</si>
  <si>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</si>
  <si>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</si>
  <si>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</si>
  <si>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</si>
  <si>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</si>
  <si>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</si>
  <si>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</si>
  <si>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</si>
  <si>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</si>
  <si>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</si>
  <si>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</si>
  <si>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</si>
  <si>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</si>
  <si>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</si>
  <si>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</si>
  <si>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</si>
  <si>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</si>
  <si>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</si>
  <si>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</si>
  <si>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</si>
  <si>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</si>
  <si>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</si>
  <si>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</si>
  <si>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</si>
  <si>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</si>
  <si>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</si>
  <si>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</si>
  <si>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</si>
  <si>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</si>
  <si>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</si>
  <si>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</si>
  <si>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</si>
  <si>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</si>
  <si>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</si>
  <si>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</si>
  <si>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</si>
  <si>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</si>
  <si>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</si>
  <si>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</si>
  <si>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</si>
  <si>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</si>
  <si>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</si>
  <si>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</si>
  <si>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</si>
  <si>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</si>
  <si>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</si>
  <si>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</si>
  <si>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</si>
  <si>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</si>
  <si>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</si>
  <si>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</si>
  <si>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</si>
  <si>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</si>
  <si>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</si>
  <si>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</si>
  <si>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</si>
  <si>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</si>
  <si>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</si>
  <si>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</si>
  <si>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</si>
  <si>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</si>
  <si>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</si>
  <si>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</si>
  <si>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</si>
  <si>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</si>
  <si>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</si>
  <si>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</si>
  <si>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</si>
  <si>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</si>
  <si>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</si>
  <si>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</si>
  <si>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</si>
  <si>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</si>
  <si>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</si>
  <si>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</si>
  <si>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</si>
  <si>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</si>
  <si>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</si>
  <si>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</si>
  <si>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</si>
  <si>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</si>
  <si>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</si>
  <si>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</si>
  <si>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</si>
  <si>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</si>
  <si>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</si>
  <si>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</si>
  <si>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</si>
  <si>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</si>
  <si>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</si>
  <si>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</si>
  <si>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</si>
  <si>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</si>
  <si>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</si>
  <si>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</si>
  <si>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</si>
  <si>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</si>
  <si>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</si>
  <si>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</si>
  <si>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</si>
  <si>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</si>
  <si>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</si>
  <si>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</si>
  <si>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</si>
  <si>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</si>
  <si>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</si>
  <si>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</si>
  <si>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</si>
  <si>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</si>
  <si>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</si>
  <si>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</si>
  <si>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</si>
  <si>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</si>
  <si>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</si>
  <si>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</si>
  <si>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</si>
  <si>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</si>
  <si>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</si>
  <si>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</si>
  <si>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</si>
  <si>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</si>
  <si>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</si>
  <si>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</si>
  <si>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</si>
  <si>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</si>
  <si>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</si>
  <si>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</si>
  <si>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</si>
  <si>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</si>
  <si>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</si>
  <si>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</si>
  <si>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</si>
  <si>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</si>
  <si>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</si>
  <si>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</si>
  <si>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</si>
  <si>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</si>
  <si>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</si>
  <si>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</si>
  <si>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</si>
  <si>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</si>
  <si>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</si>
  <si>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</si>
  <si>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</si>
  <si>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</si>
  <si>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</si>
  <si>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</si>
  <si>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</si>
  <si>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</si>
  <si>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</si>
  <si>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</si>
  <si>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</si>
  <si>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</si>
  <si>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</si>
  <si>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</si>
  <si>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</si>
  <si>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</si>
  <si>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</si>
  <si>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</si>
  <si>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</si>
  <si>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</si>
  <si>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</si>
  <si>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</si>
  <si>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</si>
  <si>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</si>
  <si>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</si>
  <si>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</si>
  <si>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</si>
  <si>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</si>
  <si>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</si>
  <si>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</si>
  <si>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</si>
  <si>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</si>
  <si>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</si>
  <si>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</si>
  <si>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</si>
  <si>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</si>
  <si>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</si>
  <si>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</si>
  <si>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</si>
  <si>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</si>
  <si>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</si>
  <si>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</si>
  <si>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</si>
  <si>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</si>
  <si>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</si>
  <si>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</si>
  <si>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</si>
  <si>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</si>
  <si>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</si>
  <si>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</si>
  <si>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</si>
  <si>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</si>
  <si>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</si>
  <si>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</si>
  <si>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</si>
  <si>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</si>
  <si>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</si>
  <si>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</si>
  <si>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</si>
  <si>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</si>
  <si>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</si>
  <si>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</si>
  <si>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</si>
  <si>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</si>
  <si>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</si>
  <si>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</si>
  <si>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</si>
  <si>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</si>
  <si>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</si>
  <si>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</si>
  <si>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</si>
  <si>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</si>
  <si>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</si>
  <si>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</si>
  <si>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</si>
  <si>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</si>
  <si>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</si>
  <si>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</si>
  <si>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</si>
  <si>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</si>
  <si>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</si>
  <si>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</si>
  <si>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</si>
  <si>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</si>
  <si>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</si>
  <si>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</si>
  <si>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</si>
  <si>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</si>
  <si>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</si>
  <si>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</si>
  <si>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</si>
  <si>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</si>
  <si>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</si>
  <si>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</si>
  <si>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</si>
  <si>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</si>
  <si>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</si>
  <si>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</si>
  <si>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</si>
  <si>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</si>
  <si>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</si>
  <si>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</si>
  <si>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</si>
  <si>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</si>
  <si>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</si>
  <si>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</si>
  <si>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</si>
  <si>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</si>
  <si>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</si>
  <si>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</si>
  <si>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</si>
  <si>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</si>
  <si>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</si>
  <si>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</si>
  <si>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</si>
  <si>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</si>
  <si>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</si>
  <si>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</si>
  <si>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</si>
  <si>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</si>
  <si>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</si>
  <si>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</si>
  <si>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</si>
  <si>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</si>
  <si>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</si>
  <si>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</si>
  <si>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</si>
  <si>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</si>
  <si>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</si>
  <si>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</si>
  <si>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</si>
  <si>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</si>
  <si>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</si>
  <si>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</si>
  <si>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</si>
  <si>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</si>
  <si>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</si>
  <si>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</si>
  <si>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</si>
  <si>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</si>
  <si>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</si>
  <si>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</si>
  <si>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</si>
  <si>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</si>
  <si>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</si>
  <si>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</si>
  <si>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</si>
  <si>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</si>
  <si>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</si>
  <si>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</si>
  <si>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</si>
  <si>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</si>
  <si>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</si>
  <si>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</si>
  <si>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</si>
  <si>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</si>
  <si>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</si>
  <si>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</si>
  <si>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</si>
  <si>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</si>
  <si>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</si>
  <si>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</si>
  <si>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</si>
  <si>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</si>
  <si>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</si>
  <si>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</si>
  <si>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</si>
  <si>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</si>
  <si>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</si>
  <si>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</si>
  <si>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</si>
  <si>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</si>
  <si>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</si>
  <si>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</si>
  <si>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</si>
  <si>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</si>
  <si>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</si>
  <si>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</si>
  <si>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</si>
  <si>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</si>
  <si>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</si>
  <si>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</si>
  <si>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</si>
  <si>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</si>
  <si>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</si>
  <si>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</si>
  <si>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</si>
  <si>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</si>
  <si>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</si>
  <si>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</si>
  <si>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</si>
  <si>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</si>
  <si>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</si>
  <si>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</si>
  <si>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</si>
  <si>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</si>
  <si>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</si>
  <si>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</si>
  <si>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</si>
  <si>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</si>
  <si>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</si>
  <si>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</si>
  <si>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</si>
  <si>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</si>
  <si>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</si>
  <si>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</si>
  <si>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</si>
  <si>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</si>
  <si>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</si>
  <si>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Pago</t>
  </si>
  <si>
    <t>Total de Itens</t>
  </si>
  <si>
    <t>Rótulos de Linha</t>
  </si>
  <si>
    <t>Total Geral</t>
  </si>
  <si>
    <t>Soma de Total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</si>
</sst>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5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3" fillId="33" borderId="10" xfId="0" applyFont="1" applyFill="1" applyBorder="1"/>
    <xf numFmtId="0" fontId="0" fillId="0" borderId="10" xfId="0" applyFont="1" applyBorder="1"/>
    <xf numFmtId="44" fontId="0" fillId="0" borderId="0" xfId="1" applyFont="1"/>
    <xf numFmtId="165" fontId="0" fillId="0" borderId="0" xfId="1" applyNumberFormat="1" applyFont="1"/>
    <xf numFmtId="165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">
    <dxf>
      <numFmt numFmtId="0" formatCode="General"/>
      <alignment horizontal="left" vertical="bottom" textRotation="0" wrapText="0" indent="0" justifyLastLine="0" shrinkToFit="0" readingOrder="0"/>
    </dxf>
    <dxf>
      <numFmt numFmtId="165" formatCode="&quot;R$&quot;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[GraficoTabelaEspeciais.xlsx]analise 2.0!Tabela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'analise 2.0'!$B$1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'analise 2.0'!$A$2:$A$18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'analise 2.0'!$B$2:$B$18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D-4DC4-8A06-697488F3D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901327"/>
        <c:axId val="504988367"/>
      </c:barChart>
      <c:catAx>
        <c:axId val="50890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4988367"/>
        <c:crosses val="autoZero"/>
        <c:auto val="1"/>
        <c:lblAlgn val="ctr"/>
        <c:lblOffset val="100"/>
        <c:noMultiLvlLbl val="0"/>
      </c:catAx>
      <c:valAx>
        <c:axId val="5049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890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 dpi="0" rotWithShape="1">
      <a:blip xmlns:r="http://schemas.openxmlformats.org/officeDocument/2006/relationships" r:embed="rId3">
        <a:alphaModFix amt="18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3505200</xdr:colOff>
      <xdr:row>0</xdr:row>
      <xdr:rowOff>0</xdr:rowOff>
    </xdr:from>
    <xdr:to>
      <xdr:col>14</xdr:col>
      <xdr:colOff>495300</xdr:colOff>
      <xdr:row>18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A8CF27-F20C-4144-AB06-C08383C0E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00996180557" createdVersion="6" refreshedVersion="6" minRefreshableVersion="3" recordCount="16">
  <cacheSource type="worksheet">
    <worksheetSource name="Tabela4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Pago" numFmtId="165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Pag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K1048576" totalsRowShown="0">
  <autoFilter ref="A1:K1048576"/>
  <tableColumns count="11">
    <tableColumn id="1" name="Ano"/>
    <tableColumn id="2" name="Mês"/>
    <tableColumn id="3" name="Classificação orçamentária"/>
    <tableColumn id="4" name="Secretaria"/>
    <tableColumn id="5" name="Função"/>
    <tableColumn id="6" name="Subfunção"/>
    <tableColumn id="7" name="Natureza da despesa"/>
    <tableColumn id="8" name="Fonte de recurso"/>
    <tableColumn id="9" name="Empenhado (R$)" dataCellStyle="Moeda"/>
    <tableColumn id="10" name="Liquidado  (R$)" dataCellStyle="Moeda"/>
    <tableColumn id="11" name="Pago  (R$)" dataCellStyle="Moed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A1:C17" totalsRowShown="0">
  <autoFilter ref="A1:C17"/>
  <tableColumns count="3">
    <tableColumn id="1" name="Secretaria" dataDxfId="2"/>
    <tableColumn id="2" name="Total Pago" dataDxfId="1" dataCellStyle="Moeda">
      <calculatedColumnFormula>SUMIF(Tabela1[[#All],[Secretaria]],analise!A2,Tabela1[[#All],[Pago  (R$)]])</calculatedColumnFormula>
    </tableColumn>
    <tableColumn id="3" name="Total de Itens" dataDxfId="0">
      <calculatedColumnFormula>COUNTIF(Tabela1[[#All],[Secretaria]],Tabela4[[#This Row],[Secretaria]])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topLeftCell="B1" zoomScale="93" zoomScaleNormal="93" workbookViewId="0">
      <selection activeCell="D1" sqref="D1:D1048576"/>
    </sheetView>
  </sheetViews>
  <sheetFormatPr defaultRowHeight="15" x14ac:dyDescent="0.25"/>
  <cols>
    <col min="1" max="8" width="56.85546875" customWidth="1"/>
    <col min="9" max="11" width="56.85546875" style="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3">
        <v>67673.06</v>
      </c>
      <c r="J2" s="3">
        <v>67673.06</v>
      </c>
      <c r="K2" s="3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3">
        <v>937110.89</v>
      </c>
      <c r="J3" s="3">
        <v>937110.89</v>
      </c>
      <c r="K3" s="3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 s="3">
        <v>0</v>
      </c>
      <c r="J4" s="3">
        <v>221405.73</v>
      </c>
      <c r="K4" s="3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 s="3">
        <v>540</v>
      </c>
      <c r="J5" s="3">
        <v>540</v>
      </c>
      <c r="K5" s="3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3">
        <v>47700.800000000003</v>
      </c>
      <c r="J6" s="3">
        <v>11858.2</v>
      </c>
      <c r="K6" s="3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3">
        <v>20770.78</v>
      </c>
      <c r="J7" s="3">
        <v>16492.95</v>
      </c>
      <c r="K7" s="3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 s="3">
        <v>0</v>
      </c>
      <c r="J8" s="3">
        <v>1904.48</v>
      </c>
      <c r="K8" s="3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 s="3">
        <v>0</v>
      </c>
      <c r="J9" s="3">
        <v>133.6</v>
      </c>
      <c r="K9" s="3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 s="3">
        <v>0</v>
      </c>
      <c r="J10" s="3">
        <v>24270</v>
      </c>
      <c r="K10" s="3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3">
        <v>15599.65</v>
      </c>
      <c r="J11" s="3">
        <v>15599.65</v>
      </c>
      <c r="K11" s="3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3">
        <v>12600</v>
      </c>
      <c r="J12" s="3">
        <v>12600</v>
      </c>
      <c r="K12" s="3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3">
        <v>414578.83</v>
      </c>
      <c r="J13" s="3">
        <v>751006.15</v>
      </c>
      <c r="K13" s="3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3">
        <v>133229.76999999999</v>
      </c>
      <c r="J14" s="3">
        <v>311190.69</v>
      </c>
      <c r="K14" s="3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 s="3">
        <v>0</v>
      </c>
      <c r="J15" s="3">
        <v>1037297.6</v>
      </c>
      <c r="K15" s="3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 s="3">
        <v>0</v>
      </c>
      <c r="J16" s="3">
        <v>9435.2800000000007</v>
      </c>
      <c r="K16" s="3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3">
        <v>20264</v>
      </c>
      <c r="J17" s="3">
        <v>36914</v>
      </c>
      <c r="K17" s="3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3">
        <v>704593.99</v>
      </c>
      <c r="J18" s="3">
        <v>704593.99</v>
      </c>
      <c r="K18" s="3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3">
        <v>793828.98</v>
      </c>
      <c r="J19" s="3">
        <v>793828.98</v>
      </c>
      <c r="K19" s="3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3">
        <v>38943.279999999999</v>
      </c>
      <c r="J20" s="3">
        <v>38943.279999999999</v>
      </c>
      <c r="K20" s="3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3">
        <v>2784.5</v>
      </c>
      <c r="J21" s="3">
        <v>2784.5</v>
      </c>
      <c r="K21" s="3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3">
        <v>2686.68</v>
      </c>
      <c r="J22" s="3">
        <v>0</v>
      </c>
      <c r="K22" s="3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3">
        <v>1307.8</v>
      </c>
      <c r="J23" s="3">
        <v>718.4</v>
      </c>
      <c r="K23" s="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3">
        <v>825359.69</v>
      </c>
      <c r="J24" s="3">
        <v>825359.69</v>
      </c>
      <c r="K24" s="3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3">
        <v>52580.21</v>
      </c>
      <c r="J25" s="3">
        <v>52580.21</v>
      </c>
      <c r="K25" s="3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3">
        <v>2939.2</v>
      </c>
      <c r="J26" s="3">
        <v>250.5</v>
      </c>
      <c r="K26" s="3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 s="3">
        <v>0</v>
      </c>
      <c r="J27" s="3">
        <v>292.25</v>
      </c>
      <c r="K27" s="3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 s="3">
        <v>314.75</v>
      </c>
      <c r="J28" s="3">
        <v>41.75</v>
      </c>
      <c r="K28" s="3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3">
        <v>61748.45</v>
      </c>
      <c r="J29" s="3">
        <v>61748.45</v>
      </c>
      <c r="K29" s="3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3">
        <v>3736.09</v>
      </c>
      <c r="J30" s="3">
        <v>3736.09</v>
      </c>
      <c r="K30" s="3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3">
        <v>147444.91</v>
      </c>
      <c r="J31" s="3">
        <v>147444.91</v>
      </c>
      <c r="K31" s="3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 s="3">
        <v>523.88</v>
      </c>
      <c r="J32" s="3">
        <v>523.88</v>
      </c>
      <c r="K32" s="3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3">
        <v>43506.49</v>
      </c>
      <c r="J33" s="3">
        <v>30265.65</v>
      </c>
      <c r="K33" s="3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3">
        <v>5034.5200000000004</v>
      </c>
      <c r="J34" s="3">
        <v>5034.5200000000004</v>
      </c>
      <c r="K34" s="3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 s="3">
        <v>585</v>
      </c>
      <c r="J35" s="3">
        <v>117035.82</v>
      </c>
      <c r="K35" s="3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3">
        <v>213817.98</v>
      </c>
      <c r="J36" s="3">
        <v>23871.81</v>
      </c>
      <c r="K36" s="3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 s="3">
        <v>0</v>
      </c>
      <c r="J37" s="3">
        <v>61574.15</v>
      </c>
      <c r="K37" s="3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 s="3">
        <v>444.24</v>
      </c>
      <c r="J38" s="3">
        <v>444.24</v>
      </c>
      <c r="K38" s="3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3">
        <v>3884.8</v>
      </c>
      <c r="J39" s="3">
        <v>0</v>
      </c>
      <c r="K39" s="3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3">
        <v>1976398.79</v>
      </c>
      <c r="J40" s="3">
        <v>1976398.79</v>
      </c>
      <c r="K40" s="3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3">
        <v>32531.62</v>
      </c>
      <c r="J41" s="3">
        <v>32531.62</v>
      </c>
      <c r="K41" s="3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3">
        <v>103784.4</v>
      </c>
      <c r="J42" s="3">
        <v>212597.35</v>
      </c>
      <c r="K42" s="3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 s="3">
        <v>0</v>
      </c>
      <c r="J43" s="3">
        <v>3508</v>
      </c>
      <c r="K43" s="3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3">
        <v>1724</v>
      </c>
      <c r="J44" s="3">
        <v>4104.05</v>
      </c>
      <c r="K44" s="3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3">
        <v>38294.18</v>
      </c>
      <c r="J45" s="3">
        <v>38294.18</v>
      </c>
      <c r="K45" s="3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3">
        <v>1599.99</v>
      </c>
      <c r="J46" s="3">
        <v>1599.99</v>
      </c>
      <c r="K46" s="3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3">
        <v>4387936.91</v>
      </c>
      <c r="J47" s="3">
        <v>912380.45</v>
      </c>
      <c r="K47" s="3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3">
        <v>7041862.2599999998</v>
      </c>
      <c r="J48" s="3">
        <v>840530.14</v>
      </c>
      <c r="K48" s="3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 s="3">
        <v>0</v>
      </c>
      <c r="J49" s="3">
        <v>0</v>
      </c>
      <c r="K49" s="3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3">
        <v>24700953.629999999</v>
      </c>
      <c r="J50" s="3">
        <v>2231317.89</v>
      </c>
      <c r="K50" s="3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3">
        <v>18836.07</v>
      </c>
      <c r="J51" s="3">
        <v>1279.3399999999999</v>
      </c>
      <c r="K51" s="3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 s="3">
        <v>0</v>
      </c>
      <c r="J52" s="3">
        <v>0</v>
      </c>
      <c r="K52" s="3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 s="3">
        <v>0</v>
      </c>
      <c r="J53" s="3">
        <v>0</v>
      </c>
      <c r="K53" s="3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 s="3">
        <v>0</v>
      </c>
      <c r="J54" s="3">
        <v>0</v>
      </c>
      <c r="K54" s="3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 s="3">
        <v>723.55</v>
      </c>
      <c r="J55" s="3">
        <v>0</v>
      </c>
      <c r="K55" s="3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3">
        <v>542898.54</v>
      </c>
      <c r="J56" s="3">
        <v>542898.54</v>
      </c>
      <c r="K56" s="3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3">
        <v>194972.51</v>
      </c>
      <c r="J57" s="3">
        <v>31531.919999999998</v>
      </c>
      <c r="K57" s="3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3">
        <v>125460</v>
      </c>
      <c r="J58" s="3">
        <v>0</v>
      </c>
      <c r="K58" s="3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 s="3">
        <v>0</v>
      </c>
      <c r="J59" s="3">
        <v>341843.25</v>
      </c>
      <c r="K59" s="3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3">
        <v>2505</v>
      </c>
      <c r="J60" s="3">
        <v>484.3</v>
      </c>
      <c r="K60" s="3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3">
        <v>2888</v>
      </c>
      <c r="J61" s="3">
        <v>2888</v>
      </c>
      <c r="K61" s="3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3">
        <v>28994.86</v>
      </c>
      <c r="J62" s="3">
        <v>28994.86</v>
      </c>
      <c r="K62" s="3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 s="3">
        <v>900</v>
      </c>
      <c r="J63" s="3">
        <v>900</v>
      </c>
      <c r="K63" s="3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3">
        <v>7649.65</v>
      </c>
      <c r="J64" s="3">
        <v>198251.48</v>
      </c>
      <c r="K64" s="3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 s="3">
        <v>0</v>
      </c>
      <c r="J65" s="3">
        <v>0</v>
      </c>
      <c r="K65" s="3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3">
        <v>198148.72</v>
      </c>
      <c r="J66" s="3">
        <v>0</v>
      </c>
      <c r="K66" s="3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3">
        <v>60224.34</v>
      </c>
      <c r="J67" s="3">
        <v>0</v>
      </c>
      <c r="K67" s="3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3">
        <v>171040.38</v>
      </c>
      <c r="J68" s="3">
        <v>81487.73</v>
      </c>
      <c r="K68" s="3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3">
        <v>121455.35</v>
      </c>
      <c r="J69" s="3">
        <v>0</v>
      </c>
      <c r="K69" s="3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3">
        <v>180408.78</v>
      </c>
      <c r="J70" s="3">
        <v>0</v>
      </c>
      <c r="K70" s="3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 s="3">
        <v>87.9</v>
      </c>
      <c r="J71" s="3">
        <v>87.9</v>
      </c>
      <c r="K71" s="3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3">
        <v>229948.82</v>
      </c>
      <c r="J72" s="3">
        <v>229948.82</v>
      </c>
      <c r="K72" s="3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3">
        <v>66219.5</v>
      </c>
      <c r="J73" s="3">
        <v>409.15</v>
      </c>
      <c r="K73" s="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3">
        <v>3275.49</v>
      </c>
      <c r="J74" s="3">
        <v>3275.49</v>
      </c>
      <c r="K74" s="3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3">
        <v>2000</v>
      </c>
      <c r="J75" s="3">
        <v>2000</v>
      </c>
      <c r="K75" s="3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3">
        <v>66391.350000000006</v>
      </c>
      <c r="J76" s="3">
        <v>1899589.59</v>
      </c>
      <c r="K76" s="3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3">
        <v>55000</v>
      </c>
      <c r="J77" s="3">
        <v>0</v>
      </c>
      <c r="K77" s="3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3">
        <v>273812.15999999997</v>
      </c>
      <c r="J78" s="3">
        <v>120593.73</v>
      </c>
      <c r="K78" s="3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3">
        <v>275812.42</v>
      </c>
      <c r="J79" s="3">
        <v>281391.26</v>
      </c>
      <c r="K79" s="3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3">
        <v>796190.81</v>
      </c>
      <c r="J80" s="3">
        <v>332786.59000000003</v>
      </c>
      <c r="K80" s="3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 s="3">
        <v>0</v>
      </c>
      <c r="J81" s="3">
        <v>0</v>
      </c>
      <c r="K81" s="3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3">
        <v>166139.1</v>
      </c>
      <c r="J82" s="3">
        <v>0</v>
      </c>
      <c r="K82" s="3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3">
        <v>1428</v>
      </c>
      <c r="J83" s="3">
        <v>0</v>
      </c>
      <c r="K83" s="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 s="3">
        <v>0</v>
      </c>
      <c r="J84" s="3">
        <v>34255</v>
      </c>
      <c r="K84" s="3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3">
        <v>24579.73</v>
      </c>
      <c r="J85" s="3">
        <v>24579.73</v>
      </c>
      <c r="K85" s="3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3">
        <v>276053.53999999998</v>
      </c>
      <c r="J86" s="3">
        <v>276053.53999999998</v>
      </c>
      <c r="K86" s="3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3">
        <v>60689.84</v>
      </c>
      <c r="J87" s="3">
        <v>60689.84</v>
      </c>
      <c r="K87" s="3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3">
        <v>2078811.1</v>
      </c>
      <c r="J88" s="3">
        <v>615091.04</v>
      </c>
      <c r="K88" s="3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3">
        <v>13271616.25</v>
      </c>
      <c r="J89" s="3">
        <v>9308118.9399999995</v>
      </c>
      <c r="K89" s="3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3">
        <v>19446000</v>
      </c>
      <c r="J90" s="3">
        <v>0</v>
      </c>
      <c r="K90" s="3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3">
        <v>2660725.08</v>
      </c>
      <c r="J91" s="3">
        <v>2214349.4</v>
      </c>
      <c r="K91" s="3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3">
        <v>56844.01</v>
      </c>
      <c r="J92" s="3">
        <v>56844.01</v>
      </c>
      <c r="K92" s="3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3">
        <v>6311.57</v>
      </c>
      <c r="J93" s="3">
        <v>6311.57</v>
      </c>
      <c r="K93" s="3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3">
        <v>58579.16</v>
      </c>
      <c r="J94" s="3">
        <v>58579.16</v>
      </c>
      <c r="K94" s="3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 s="3">
        <v>449.6</v>
      </c>
      <c r="J95" s="3">
        <v>449.6</v>
      </c>
      <c r="K95" s="3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3">
        <v>1620</v>
      </c>
      <c r="J96" s="3">
        <v>1620</v>
      </c>
      <c r="K96" s="3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3">
        <v>90373.26</v>
      </c>
      <c r="J97" s="3">
        <v>61087.5</v>
      </c>
      <c r="K97" s="3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 s="3">
        <v>0</v>
      </c>
      <c r="J98" s="3">
        <v>81900.63</v>
      </c>
      <c r="K98" s="3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3">
        <v>283331.01</v>
      </c>
      <c r="J99" s="3">
        <v>257792.8</v>
      </c>
      <c r="K99" s="3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 s="3">
        <v>0</v>
      </c>
      <c r="J100" s="3">
        <v>122551.51</v>
      </c>
      <c r="K100" s="3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3">
        <v>163475.4</v>
      </c>
      <c r="J101" s="3">
        <v>11543597.6</v>
      </c>
      <c r="K101" s="3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3">
        <v>303308.63</v>
      </c>
      <c r="J102" s="3">
        <v>405143.48</v>
      </c>
      <c r="K102" s="3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 s="3">
        <v>0</v>
      </c>
      <c r="J103" s="3">
        <v>164073.99</v>
      </c>
      <c r="K103" s="3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3">
        <v>5840000</v>
      </c>
      <c r="J104" s="3">
        <v>18980</v>
      </c>
      <c r="K104" s="3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3">
        <v>44165.1</v>
      </c>
      <c r="J105" s="3">
        <v>0</v>
      </c>
      <c r="K105" s="3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3">
        <v>5638.24</v>
      </c>
      <c r="J106" s="3">
        <v>5638.24</v>
      </c>
      <c r="K106" s="3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3">
        <v>10009.5</v>
      </c>
      <c r="J107" s="3">
        <v>10009.5</v>
      </c>
      <c r="K107" s="3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3">
        <v>1049541.54</v>
      </c>
      <c r="J108" s="3">
        <v>3312</v>
      </c>
      <c r="K108" s="3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3">
        <v>1894716.33</v>
      </c>
      <c r="J109" s="3">
        <v>0</v>
      </c>
      <c r="K109" s="3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3">
        <v>2798.52</v>
      </c>
      <c r="J110" s="3">
        <v>2798.52</v>
      </c>
      <c r="K110" s="3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3">
        <v>141658.21</v>
      </c>
      <c r="J111" s="3">
        <v>141658.21</v>
      </c>
      <c r="K111" s="3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3">
        <v>1073878.57</v>
      </c>
      <c r="J112" s="3">
        <v>0</v>
      </c>
      <c r="K112" s="3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 s="3">
        <v>0</v>
      </c>
      <c r="J113" s="3">
        <v>1130584.72</v>
      </c>
      <c r="K113" s="3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 s="3">
        <v>0</v>
      </c>
      <c r="J114" s="3">
        <v>254531.63</v>
      </c>
      <c r="K114" s="3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 s="3">
        <v>0</v>
      </c>
      <c r="J115" s="3">
        <v>540111.56999999995</v>
      </c>
      <c r="K115" s="3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 s="3">
        <v>0</v>
      </c>
      <c r="J116" s="3">
        <v>583301.64</v>
      </c>
      <c r="K116" s="3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 s="3">
        <v>0</v>
      </c>
      <c r="J117" s="3">
        <v>1156389.54</v>
      </c>
      <c r="K117" s="3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 s="3">
        <v>0</v>
      </c>
      <c r="J118" s="3">
        <v>287.5</v>
      </c>
      <c r="K118" s="3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3">
        <v>6271296.4800000004</v>
      </c>
      <c r="J119" s="3">
        <v>6547487.2699999996</v>
      </c>
      <c r="K119" s="3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3">
        <v>141385.17000000001</v>
      </c>
      <c r="J120" s="3">
        <v>762262.39</v>
      </c>
      <c r="K120" s="3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 s="3">
        <v>0</v>
      </c>
      <c r="J121" s="3">
        <v>416557.38</v>
      </c>
      <c r="K121" s="3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3">
        <v>8246709.1100000003</v>
      </c>
      <c r="J122" s="3">
        <v>92318.22</v>
      </c>
      <c r="K122" s="3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3">
        <v>11406668.130000001</v>
      </c>
      <c r="J123" s="3">
        <v>931841.5</v>
      </c>
      <c r="K123" s="3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3">
        <v>570490.19999999995</v>
      </c>
      <c r="J124" s="3">
        <v>0</v>
      </c>
      <c r="K124" s="3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3">
        <v>750296.33</v>
      </c>
      <c r="J125" s="3">
        <v>1887368.48</v>
      </c>
      <c r="K125" s="3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3">
        <v>329237.07</v>
      </c>
      <c r="J126" s="3">
        <v>143985.85999999999</v>
      </c>
      <c r="K126" s="3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3">
        <v>2711029.43</v>
      </c>
      <c r="J127" s="3">
        <v>0</v>
      </c>
      <c r="K127" s="3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3">
        <v>1567897.23</v>
      </c>
      <c r="J128" s="3">
        <v>2261050.66</v>
      </c>
      <c r="K128" s="3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 s="3">
        <v>972</v>
      </c>
      <c r="J129" s="3">
        <v>972</v>
      </c>
      <c r="K129" s="3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3">
        <v>1295914.52</v>
      </c>
      <c r="J130" s="3">
        <v>1295914.52</v>
      </c>
      <c r="K130" s="3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3">
        <v>166357.56</v>
      </c>
      <c r="J131" s="3">
        <v>166357.56</v>
      </c>
      <c r="K131" s="3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3">
        <v>81660</v>
      </c>
      <c r="J132" s="3">
        <v>81660</v>
      </c>
      <c r="K132" s="3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3">
        <v>1161918</v>
      </c>
      <c r="J133" s="3">
        <v>1161918</v>
      </c>
      <c r="K133" s="3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3">
        <v>16806</v>
      </c>
      <c r="J134" s="3">
        <v>16806</v>
      </c>
      <c r="K134" s="3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 s="3">
        <v>0</v>
      </c>
      <c r="J135" s="3">
        <v>0</v>
      </c>
      <c r="K135" s="3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 s="3">
        <v>0</v>
      </c>
      <c r="J136" s="3">
        <v>1704648.94</v>
      </c>
      <c r="K136" s="3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 s="3">
        <v>0</v>
      </c>
      <c r="J137" s="3">
        <v>0</v>
      </c>
      <c r="K137" s="3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3">
        <v>200000</v>
      </c>
      <c r="J138" s="3">
        <v>374574.34</v>
      </c>
      <c r="K138" s="3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 s="3">
        <v>0</v>
      </c>
      <c r="J139" s="3">
        <v>0</v>
      </c>
      <c r="K139" s="3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 s="3">
        <v>0</v>
      </c>
      <c r="J140" s="3">
        <v>1684964.59</v>
      </c>
      <c r="K140" s="3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3">
        <v>-1984174.36</v>
      </c>
      <c r="J141" s="3">
        <v>688112.67</v>
      </c>
      <c r="K141" s="3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3">
        <v>1335000</v>
      </c>
      <c r="J142" s="3">
        <v>91000.33</v>
      </c>
      <c r="K142" s="3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 s="3">
        <v>0</v>
      </c>
      <c r="J143" s="3">
        <v>969.79</v>
      </c>
      <c r="K143" s="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 s="3">
        <v>0</v>
      </c>
      <c r="J144" s="3">
        <v>31302.12</v>
      </c>
      <c r="K144" s="3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3">
        <v>10346.4</v>
      </c>
      <c r="J145" s="3">
        <v>526217</v>
      </c>
      <c r="K145" s="3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3">
        <v>13200</v>
      </c>
      <c r="J146" s="3">
        <v>155983</v>
      </c>
      <c r="K146" s="3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3">
        <v>566045.67000000004</v>
      </c>
      <c r="J147" s="3">
        <v>566045.67000000004</v>
      </c>
      <c r="K147" s="3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3">
        <v>2368415.0499999998</v>
      </c>
      <c r="J148" s="3">
        <v>2368415.0499999998</v>
      </c>
      <c r="K148" s="3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3">
        <v>3265.18</v>
      </c>
      <c r="J149" s="3">
        <v>3265.18</v>
      </c>
      <c r="K149" s="3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3">
        <v>798766.16</v>
      </c>
      <c r="J150" s="3">
        <v>798766.16</v>
      </c>
      <c r="K150" s="3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3">
        <v>14499920.07</v>
      </c>
      <c r="J151" s="3">
        <v>14499920.07</v>
      </c>
      <c r="K151" s="3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3">
        <v>1554521.41</v>
      </c>
      <c r="J152" s="3">
        <v>1554521.41</v>
      </c>
      <c r="K152" s="3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3">
        <v>798625.19</v>
      </c>
      <c r="J153" s="3">
        <v>798625.19</v>
      </c>
      <c r="K153" s="3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3">
        <v>9839499.3499999996</v>
      </c>
      <c r="J154" s="3">
        <v>9839499.3499999996</v>
      </c>
      <c r="K154" s="3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3">
        <v>238114.74</v>
      </c>
      <c r="J155" s="3">
        <v>238114.74</v>
      </c>
      <c r="K155" s="3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3">
        <v>2802.54</v>
      </c>
      <c r="J156" s="3">
        <v>2802.54</v>
      </c>
      <c r="K156" s="3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3">
        <v>1881.34</v>
      </c>
      <c r="J157" s="3">
        <v>1881.34</v>
      </c>
      <c r="K157" s="3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3">
        <v>634842.88</v>
      </c>
      <c r="J158" s="3">
        <v>634842.88</v>
      </c>
      <c r="K158" s="3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3">
        <v>2208.7600000000002</v>
      </c>
      <c r="J159" s="3">
        <v>2208.7600000000002</v>
      </c>
      <c r="K159" s="3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 s="3">
        <v>640.88</v>
      </c>
      <c r="J160" s="3">
        <v>640.88</v>
      </c>
      <c r="K160" s="3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3">
        <v>158731.99</v>
      </c>
      <c r="J161" s="3">
        <v>158731.99</v>
      </c>
      <c r="K161" s="3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 s="3">
        <v>440.23</v>
      </c>
      <c r="J162" s="3">
        <v>440.23</v>
      </c>
      <c r="K162" s="3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3">
        <v>35605.9</v>
      </c>
      <c r="J163" s="3">
        <v>35605.9</v>
      </c>
      <c r="K163" s="3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3">
        <v>18022.41</v>
      </c>
      <c r="J164" s="3">
        <v>18022.41</v>
      </c>
      <c r="K164" s="3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3">
        <v>16588.72</v>
      </c>
      <c r="J165" s="3">
        <v>16588.72</v>
      </c>
      <c r="K165" s="3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3">
        <v>4991100.17</v>
      </c>
      <c r="J166" s="3">
        <v>4991100.17</v>
      </c>
      <c r="K166" s="3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3">
        <v>394995.84</v>
      </c>
      <c r="J167" s="3">
        <v>394995.84</v>
      </c>
      <c r="K167" s="3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3">
        <v>310183.03000000003</v>
      </c>
      <c r="J168" s="3">
        <v>310183.03000000003</v>
      </c>
      <c r="K168" s="3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3">
        <v>3467424.69</v>
      </c>
      <c r="J169" s="3">
        <v>3467424.69</v>
      </c>
      <c r="K169" s="3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3">
        <v>72912.350000000006</v>
      </c>
      <c r="J170" s="3">
        <v>72912.350000000006</v>
      </c>
      <c r="K170" s="3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 s="3">
        <v>0</v>
      </c>
      <c r="J171" s="3">
        <v>256001.41</v>
      </c>
      <c r="K171" s="3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3">
        <v>338466.3</v>
      </c>
      <c r="J172" s="3">
        <v>338466.3</v>
      </c>
      <c r="K172" s="3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3">
        <v>566690.36</v>
      </c>
      <c r="J173" s="3">
        <v>566690.36</v>
      </c>
      <c r="K173" s="3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 s="3">
        <v>0</v>
      </c>
      <c r="J174" s="3">
        <v>190931.94</v>
      </c>
      <c r="K174" s="3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 s="3">
        <v>0</v>
      </c>
      <c r="J175" s="3">
        <v>2147169.0699999998</v>
      </c>
      <c r="K175" s="3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3">
        <v>199674.64</v>
      </c>
      <c r="J176" s="3">
        <v>187602.13</v>
      </c>
      <c r="K176" s="3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 s="3">
        <v>0</v>
      </c>
      <c r="J177" s="3">
        <v>1444.5</v>
      </c>
      <c r="K177" s="3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3">
        <v>69123</v>
      </c>
      <c r="J178" s="3">
        <v>78763</v>
      </c>
      <c r="K178" s="3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 s="3">
        <v>0</v>
      </c>
      <c r="J179" s="3">
        <v>2397.5</v>
      </c>
      <c r="K179" s="3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3">
        <v>10333.280000000001</v>
      </c>
      <c r="J180" s="3">
        <v>10333.280000000001</v>
      </c>
      <c r="K180" s="3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3">
        <v>54048.9</v>
      </c>
      <c r="J181" s="3">
        <v>54048.9</v>
      </c>
      <c r="K181" s="3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3">
        <v>334759.65000000002</v>
      </c>
      <c r="J182" s="3">
        <v>334759.65000000002</v>
      </c>
      <c r="K182" s="3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3">
        <v>26555</v>
      </c>
      <c r="J183" s="3">
        <v>26555</v>
      </c>
      <c r="K183" s="3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3">
        <v>264237.40000000002</v>
      </c>
      <c r="J184" s="3">
        <v>268098.73</v>
      </c>
      <c r="K184" s="3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3">
        <v>68431.929999999993</v>
      </c>
      <c r="J185" s="3">
        <v>191104.67</v>
      </c>
      <c r="K185" s="3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3">
        <v>65351</v>
      </c>
      <c r="J186" s="3">
        <v>25271</v>
      </c>
      <c r="K186" s="3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3">
        <v>1115117.29</v>
      </c>
      <c r="J187" s="3">
        <v>1365117.29</v>
      </c>
      <c r="K187" s="3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3">
        <v>690489.78</v>
      </c>
      <c r="J188" s="3">
        <v>0</v>
      </c>
      <c r="K188" s="3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3">
        <v>765205.84</v>
      </c>
      <c r="J189" s="3">
        <v>765205.84</v>
      </c>
      <c r="K189" s="3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3">
        <v>80144.03</v>
      </c>
      <c r="J190" s="3">
        <v>0</v>
      </c>
      <c r="K190" s="3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3">
        <v>1200.74</v>
      </c>
      <c r="J191" s="3">
        <v>1200.74</v>
      </c>
      <c r="K191" s="3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 s="3">
        <v>0</v>
      </c>
      <c r="J192" s="3">
        <v>0</v>
      </c>
      <c r="K192" s="3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 s="3">
        <v>0</v>
      </c>
      <c r="J193" s="3">
        <v>0</v>
      </c>
      <c r="K193" s="3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 s="3">
        <v>0</v>
      </c>
      <c r="J194" s="3">
        <v>0</v>
      </c>
      <c r="K194" s="3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3">
        <v>14851.8</v>
      </c>
      <c r="J195" s="3">
        <v>45447.6</v>
      </c>
      <c r="K195" s="3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3">
        <v>890758.7</v>
      </c>
      <c r="J196" s="3">
        <v>890758.7</v>
      </c>
      <c r="K196" s="3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3">
        <v>-2129638.35</v>
      </c>
      <c r="J197" s="3">
        <v>2925457.17</v>
      </c>
      <c r="K197" s="3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3">
        <v>1906000</v>
      </c>
      <c r="J198" s="3">
        <v>0</v>
      </c>
      <c r="K198" s="3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3">
        <v>103858.32</v>
      </c>
      <c r="J199" s="3">
        <v>6332898.0499999998</v>
      </c>
      <c r="K199" s="3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3">
        <v>392715.84</v>
      </c>
      <c r="J200" s="3">
        <v>0</v>
      </c>
      <c r="K200" s="3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 s="3">
        <v>0</v>
      </c>
      <c r="J201" s="3">
        <v>37098.25</v>
      </c>
      <c r="K201" s="3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 s="3">
        <v>0</v>
      </c>
      <c r="J202" s="3">
        <v>0</v>
      </c>
      <c r="K202" s="3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3">
        <v>3000</v>
      </c>
      <c r="J203" s="3">
        <v>3000</v>
      </c>
      <c r="K203" s="3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3">
        <v>13425</v>
      </c>
      <c r="J204" s="3">
        <v>13425</v>
      </c>
      <c r="K204" s="3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3">
        <v>6593.6</v>
      </c>
      <c r="J205" s="3">
        <v>20002.400000000001</v>
      </c>
      <c r="K205" s="3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 s="3">
        <v>0</v>
      </c>
      <c r="J206" s="3">
        <v>35000</v>
      </c>
      <c r="K206" s="3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3">
        <v>9980.73</v>
      </c>
      <c r="J207" s="3">
        <v>9980.73</v>
      </c>
      <c r="K207" s="3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 s="3">
        <v>0</v>
      </c>
      <c r="J208" s="3">
        <v>12434.38</v>
      </c>
      <c r="K208" s="3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 s="3">
        <v>0</v>
      </c>
      <c r="J209" s="3">
        <v>4824.3999999999996</v>
      </c>
      <c r="K209" s="3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3">
        <v>456653.59</v>
      </c>
      <c r="J210" s="3">
        <v>322508.5</v>
      </c>
      <c r="K210" s="3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3">
        <v>1500</v>
      </c>
      <c r="J211" s="3">
        <v>1500</v>
      </c>
      <c r="K211" s="3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 s="3">
        <v>0</v>
      </c>
      <c r="J212" s="3">
        <v>76285.240000000005</v>
      </c>
      <c r="K212" s="3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3">
        <v>338152.7</v>
      </c>
      <c r="J213" s="3">
        <v>510737.95</v>
      </c>
      <c r="K213" s="3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3">
        <v>56503.65</v>
      </c>
      <c r="J214" s="3">
        <v>77929.509999999995</v>
      </c>
      <c r="K214" s="3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3">
        <v>1733.34</v>
      </c>
      <c r="J215" s="3">
        <v>27583.34</v>
      </c>
      <c r="K215" s="3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3">
        <v>422000</v>
      </c>
      <c r="J216" s="3">
        <v>422000</v>
      </c>
      <c r="K216" s="3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3">
        <v>12300</v>
      </c>
      <c r="J217" s="3">
        <v>12300</v>
      </c>
      <c r="K217" s="3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3">
        <v>5393.39</v>
      </c>
      <c r="J218" s="3">
        <v>5393.39</v>
      </c>
      <c r="K218" s="3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3">
        <v>8670</v>
      </c>
      <c r="J219" s="3">
        <v>8670</v>
      </c>
      <c r="K219" s="3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3">
        <v>43050</v>
      </c>
      <c r="J220" s="3">
        <v>43050</v>
      </c>
      <c r="K220" s="3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3">
        <v>1702278.18</v>
      </c>
      <c r="J221" s="3">
        <v>1702278.18</v>
      </c>
      <c r="K221" s="3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 s="3">
        <v>0</v>
      </c>
      <c r="J222" s="3">
        <v>31903.21</v>
      </c>
      <c r="K222" s="3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 s="3">
        <v>0</v>
      </c>
      <c r="J223" s="3">
        <v>0</v>
      </c>
      <c r="K223" s="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3">
        <v>30695</v>
      </c>
      <c r="J224" s="3">
        <v>253810.3</v>
      </c>
      <c r="K224" s="3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3">
        <v>-140228.4</v>
      </c>
      <c r="J225" s="3">
        <v>191587.64</v>
      </c>
      <c r="K225" s="3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3">
        <v>15980</v>
      </c>
      <c r="J226" s="3">
        <v>3360</v>
      </c>
      <c r="K226" s="3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3">
        <v>2914.08</v>
      </c>
      <c r="J227" s="3">
        <v>2914.08</v>
      </c>
      <c r="K227" s="3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3">
        <v>23073.78</v>
      </c>
      <c r="J228" s="3">
        <v>0</v>
      </c>
      <c r="K228" s="3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 s="3">
        <v>0</v>
      </c>
      <c r="J229" s="3">
        <v>1642995.3</v>
      </c>
      <c r="K229" s="3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3">
        <v>288851.67</v>
      </c>
      <c r="J230" s="3">
        <v>6401923.0800000001</v>
      </c>
      <c r="K230" s="3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3">
        <v>18272659.59</v>
      </c>
      <c r="J231" s="3">
        <v>15973181.99</v>
      </c>
      <c r="K231" s="3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 s="3">
        <v>0</v>
      </c>
      <c r="J232" s="3">
        <v>33168.870000000003</v>
      </c>
      <c r="K232" s="3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3">
        <v>-21192.23</v>
      </c>
      <c r="J233" s="3">
        <v>0</v>
      </c>
      <c r="K233" s="3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 s="3">
        <v>0</v>
      </c>
      <c r="J234" s="3">
        <v>84831.69</v>
      </c>
      <c r="K234" s="3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3">
        <v>13017</v>
      </c>
      <c r="J235" s="3">
        <v>4293.8</v>
      </c>
      <c r="K235" s="3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3">
        <v>2242072.13</v>
      </c>
      <c r="J236" s="3">
        <v>2242072.13</v>
      </c>
      <c r="K236" s="3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3">
        <v>98495.25</v>
      </c>
      <c r="J237" s="3">
        <v>98495.25</v>
      </c>
      <c r="K237" s="3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3">
        <v>39680.639999999999</v>
      </c>
      <c r="J238" s="3">
        <v>39680.639999999999</v>
      </c>
      <c r="K238" s="3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3">
        <v>1934.85</v>
      </c>
      <c r="J239" s="3">
        <v>1934.85</v>
      </c>
      <c r="K239" s="3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3">
        <v>389988.5</v>
      </c>
      <c r="J240" s="3">
        <v>389988.5</v>
      </c>
      <c r="K240" s="3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3">
        <v>45921.04</v>
      </c>
      <c r="J241" s="3">
        <v>45921.04</v>
      </c>
      <c r="K241" s="3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3">
        <v>4860</v>
      </c>
      <c r="J242" s="3">
        <v>4860</v>
      </c>
      <c r="K242" s="3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3">
        <v>15057.5</v>
      </c>
      <c r="J243" s="3">
        <v>38322.92</v>
      </c>
      <c r="K243" s="3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3">
        <v>12434.26</v>
      </c>
      <c r="J244" s="3">
        <v>15234.26</v>
      </c>
      <c r="K244" s="3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3">
        <v>305000</v>
      </c>
      <c r="J245" s="3">
        <v>49907.87</v>
      </c>
      <c r="K245" s="3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3">
        <v>479541.36</v>
      </c>
      <c r="J246" s="3">
        <v>355124.98</v>
      </c>
      <c r="K246" s="3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 s="3">
        <v>0</v>
      </c>
      <c r="J247" s="3">
        <v>8791.25</v>
      </c>
      <c r="K247" s="3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 s="3">
        <v>0</v>
      </c>
      <c r="J248" s="3">
        <v>247696.93</v>
      </c>
      <c r="K248" s="3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3">
        <v>849839.92</v>
      </c>
      <c r="J249" s="3">
        <v>849839.92</v>
      </c>
      <c r="K249" s="3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 s="3">
        <v>0</v>
      </c>
      <c r="J250" s="3">
        <v>101121.95</v>
      </c>
      <c r="K250" s="3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3">
        <v>50000</v>
      </c>
      <c r="J251" s="3">
        <v>85340.46</v>
      </c>
      <c r="K251" s="3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3">
        <v>327953.25</v>
      </c>
      <c r="J252" s="3">
        <v>327953.25</v>
      </c>
      <c r="K252" s="3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3">
        <v>294689.05</v>
      </c>
      <c r="J253" s="3">
        <v>294689.05</v>
      </c>
      <c r="K253" s="3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3">
        <v>851061.81</v>
      </c>
      <c r="J254" s="3">
        <v>851061.81</v>
      </c>
      <c r="K254" s="3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3">
        <v>271016.51</v>
      </c>
      <c r="J255" s="3">
        <v>271016.51</v>
      </c>
      <c r="K255" s="3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3">
        <v>1740.59</v>
      </c>
      <c r="J256" s="3">
        <v>1740.59</v>
      </c>
      <c r="K256" s="3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3">
        <v>3925.86</v>
      </c>
      <c r="J257" s="3">
        <v>3925.86</v>
      </c>
      <c r="K257" s="3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3">
        <v>63187.360000000001</v>
      </c>
      <c r="J258" s="3">
        <v>63187.360000000001</v>
      </c>
      <c r="K258" s="3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3">
        <v>65567.14</v>
      </c>
      <c r="J259" s="3">
        <v>65567.14</v>
      </c>
      <c r="K259" s="3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 s="3">
        <v>0</v>
      </c>
      <c r="J260" s="3">
        <v>17938.669999999998</v>
      </c>
      <c r="K260" s="3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 s="3">
        <v>0</v>
      </c>
      <c r="J261" s="3">
        <v>15172.5</v>
      </c>
      <c r="K261" s="3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3">
        <v>78343.199999999997</v>
      </c>
      <c r="J262" s="3">
        <v>23621.599999999999</v>
      </c>
      <c r="K262" s="3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 s="3">
        <v>900</v>
      </c>
      <c r="J263" s="3">
        <v>900</v>
      </c>
      <c r="K263" s="3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3">
        <v>37600</v>
      </c>
      <c r="J264" s="3">
        <v>29670.45</v>
      </c>
      <c r="K264" s="3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3">
        <v>110618.85</v>
      </c>
      <c r="J265" s="3">
        <v>14889.4</v>
      </c>
      <c r="K265" s="3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 s="3">
        <v>0</v>
      </c>
      <c r="J266" s="3">
        <v>4126.76</v>
      </c>
      <c r="K266" s="3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 s="3">
        <v>0</v>
      </c>
      <c r="J267" s="3">
        <v>3984</v>
      </c>
      <c r="K267" s="3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3">
        <v>18150.259999999998</v>
      </c>
      <c r="J268" s="3">
        <v>33119.33</v>
      </c>
      <c r="K268" s="3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3">
        <v>4013</v>
      </c>
      <c r="J269" s="3">
        <v>2540.08</v>
      </c>
      <c r="K269" s="3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3">
        <v>320445</v>
      </c>
      <c r="J270" s="3">
        <v>78449.5</v>
      </c>
      <c r="K270" s="3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3">
        <v>67158.48</v>
      </c>
      <c r="J271" s="3">
        <v>90088.12</v>
      </c>
      <c r="K271" s="3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 s="3">
        <v>0</v>
      </c>
      <c r="J272" s="3">
        <v>14059.4</v>
      </c>
      <c r="K272" s="3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 s="3">
        <v>0</v>
      </c>
      <c r="J273" s="3">
        <v>7500</v>
      </c>
      <c r="K273" s="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3">
        <v>12461.68</v>
      </c>
      <c r="J274" s="3">
        <v>51379.26</v>
      </c>
      <c r="K274" s="3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3">
        <v>30877.48</v>
      </c>
      <c r="J275" s="3">
        <v>30877.48</v>
      </c>
      <c r="K275" s="3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 s="3">
        <v>0</v>
      </c>
      <c r="J276" s="3">
        <v>0</v>
      </c>
      <c r="K276" s="3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 s="3">
        <v>0</v>
      </c>
      <c r="J277" s="3">
        <v>15665345.1</v>
      </c>
      <c r="K277" s="3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 s="3">
        <v>0</v>
      </c>
      <c r="J278" s="3">
        <v>7100830</v>
      </c>
      <c r="K278" s="3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 s="3">
        <v>0</v>
      </c>
      <c r="J279" s="3">
        <v>5624545.1600000001</v>
      </c>
      <c r="K279" s="3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3">
        <v>647059.81999999995</v>
      </c>
      <c r="J280" s="3">
        <v>4936641.88</v>
      </c>
      <c r="K280" s="3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 s="3">
        <v>0</v>
      </c>
      <c r="J281" s="3">
        <v>1175000</v>
      </c>
      <c r="K281" s="3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 s="3">
        <v>0</v>
      </c>
      <c r="J282" s="3">
        <v>1149618.98</v>
      </c>
      <c r="K282" s="3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 s="3">
        <v>0</v>
      </c>
      <c r="J283" s="3">
        <v>470728.7</v>
      </c>
      <c r="K283" s="3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3">
        <v>100272.72</v>
      </c>
      <c r="J284" s="3">
        <v>100272.72</v>
      </c>
      <c r="K284" s="3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 s="3">
        <v>0</v>
      </c>
      <c r="J285" s="3">
        <v>35967.160000000003</v>
      </c>
      <c r="K285" s="3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 s="3">
        <v>0</v>
      </c>
      <c r="J286" s="3">
        <v>0</v>
      </c>
      <c r="K286" s="3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 s="3">
        <v>0</v>
      </c>
      <c r="J287" s="3">
        <v>76800</v>
      </c>
      <c r="K287" s="3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3">
        <v>652000</v>
      </c>
      <c r="J288" s="3">
        <v>0</v>
      </c>
      <c r="K288" s="3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3">
        <v>30002000</v>
      </c>
      <c r="J289" s="3">
        <v>0</v>
      </c>
      <c r="K289" s="3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3">
        <v>2630000</v>
      </c>
      <c r="J290" s="3">
        <v>0</v>
      </c>
      <c r="K290" s="3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 s="3">
        <v>0</v>
      </c>
      <c r="J291" s="3">
        <v>0</v>
      </c>
      <c r="K291" s="3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3">
        <v>4579468.3499999996</v>
      </c>
      <c r="J292" s="3">
        <v>4579468.3499999996</v>
      </c>
      <c r="K292" s="3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3">
        <v>1022754.67</v>
      </c>
      <c r="J293" s="3">
        <v>1022754.67</v>
      </c>
      <c r="K293" s="3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3">
        <v>39530.54</v>
      </c>
      <c r="J294" s="3">
        <v>39530.54</v>
      </c>
      <c r="K294" s="3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3">
        <v>348858.27</v>
      </c>
      <c r="J295" s="3">
        <v>348858.27</v>
      </c>
      <c r="K295" s="3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3">
        <v>185708.86</v>
      </c>
      <c r="J296" s="3">
        <v>185708.86</v>
      </c>
      <c r="K296" s="3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3">
        <v>17604.98</v>
      </c>
      <c r="J297" s="3">
        <v>17604.98</v>
      </c>
      <c r="K297" s="3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3">
        <v>951509.1</v>
      </c>
      <c r="J298" s="3">
        <v>951509.1</v>
      </c>
      <c r="K298" s="3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3">
        <v>1805004.08</v>
      </c>
      <c r="J299" s="3">
        <v>3514435.41</v>
      </c>
      <c r="K299" s="3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 s="3">
        <v>0</v>
      </c>
      <c r="J300" s="3">
        <v>9935.6</v>
      </c>
      <c r="K300" s="3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3">
        <v>229236.44</v>
      </c>
      <c r="J301" s="3">
        <v>295959.78000000003</v>
      </c>
      <c r="K301" s="3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3">
        <v>11497.44</v>
      </c>
      <c r="J302" s="3">
        <v>335228.68</v>
      </c>
      <c r="K302" s="3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 s="3">
        <v>0</v>
      </c>
      <c r="J303" s="3">
        <v>28175.5</v>
      </c>
      <c r="K303" s="3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3">
        <v>113978.7</v>
      </c>
      <c r="J304" s="3">
        <v>17990.5</v>
      </c>
      <c r="K304" s="3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3">
        <v>19932.14</v>
      </c>
      <c r="J305" s="3">
        <v>1899.48</v>
      </c>
      <c r="K305" s="3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3">
        <v>396618.72</v>
      </c>
      <c r="J306" s="3">
        <v>521745.59</v>
      </c>
      <c r="K306" s="3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3">
        <v>2036777.68</v>
      </c>
      <c r="J307" s="3">
        <v>4237453.1399999997</v>
      </c>
      <c r="K307" s="3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 s="3">
        <v>0</v>
      </c>
      <c r="J308" s="3">
        <v>373350</v>
      </c>
      <c r="K308" s="3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 s="3">
        <v>0</v>
      </c>
      <c r="J309" s="3">
        <v>339749.15</v>
      </c>
      <c r="K309" s="3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 s="3">
        <v>0</v>
      </c>
      <c r="J310" s="3">
        <v>15700</v>
      </c>
      <c r="K310" s="3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3">
        <v>2130000</v>
      </c>
      <c r="J311" s="3">
        <v>509542.59</v>
      </c>
      <c r="K311" s="3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3">
        <v>2570754.44</v>
      </c>
      <c r="J312" s="3">
        <v>577431.54</v>
      </c>
      <c r="K312" s="3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 s="3">
        <v>0</v>
      </c>
      <c r="J313" s="3">
        <v>585676.79</v>
      </c>
      <c r="K313" s="3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3">
        <v>4200</v>
      </c>
      <c r="J314" s="3">
        <v>4200</v>
      </c>
      <c r="K314" s="3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3">
        <v>32994</v>
      </c>
      <c r="J315" s="3">
        <v>44708.81</v>
      </c>
      <c r="K315" s="3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3">
        <v>388800</v>
      </c>
      <c r="J316" s="3">
        <v>1047616</v>
      </c>
      <c r="K316" s="3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3">
        <v>160434</v>
      </c>
      <c r="J317" s="3">
        <v>160434</v>
      </c>
      <c r="K317" s="3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3">
        <v>589565.21</v>
      </c>
      <c r="J318" s="3">
        <v>39565.21</v>
      </c>
      <c r="K318" s="3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3">
        <v>3220180</v>
      </c>
      <c r="J319" s="3">
        <v>0</v>
      </c>
      <c r="K319" s="3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 s="3">
        <v>0</v>
      </c>
      <c r="J320" s="3">
        <v>435129.61</v>
      </c>
      <c r="K320" s="3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3">
        <v>406890</v>
      </c>
      <c r="J321" s="3">
        <v>83596.08</v>
      </c>
      <c r="K321" s="3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3">
        <v>19014.8</v>
      </c>
      <c r="J322" s="3">
        <v>0</v>
      </c>
      <c r="K322" s="3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3">
        <v>17189.7</v>
      </c>
      <c r="J323" s="3">
        <v>313.92</v>
      </c>
      <c r="K323" s="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3">
        <v>5986868.8300000001</v>
      </c>
      <c r="J324" s="3">
        <v>5986868.8300000001</v>
      </c>
      <c r="K324" s="3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3">
        <v>8660.1200000000008</v>
      </c>
      <c r="J325" s="3">
        <v>8660.1200000000008</v>
      </c>
      <c r="K325" s="3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3">
        <v>646521.57999999996</v>
      </c>
      <c r="J326" s="3">
        <v>646521.57999999996</v>
      </c>
      <c r="K326" s="3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3">
        <v>205315.46</v>
      </c>
      <c r="J327" s="3">
        <v>205315.46</v>
      </c>
      <c r="K327" s="3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3">
        <v>1303620.3600000001</v>
      </c>
      <c r="J328" s="3">
        <v>1303620.3600000001</v>
      </c>
      <c r="K328" s="3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 s="3">
        <v>0</v>
      </c>
      <c r="J329" s="3">
        <v>265166.61</v>
      </c>
      <c r="K329" s="3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 s="3">
        <v>0</v>
      </c>
      <c r="J330" s="3">
        <v>145225.18</v>
      </c>
      <c r="K330" s="3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 s="3">
        <v>0</v>
      </c>
      <c r="J331" s="3">
        <v>0</v>
      </c>
      <c r="K331" s="3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3">
        <v>8852.9</v>
      </c>
      <c r="J332" s="3">
        <v>280586.25</v>
      </c>
      <c r="K332" s="3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 s="3">
        <v>934.8</v>
      </c>
      <c r="J333" s="3">
        <v>14934.8</v>
      </c>
      <c r="K333" s="3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3">
        <v>1627089.44</v>
      </c>
      <c r="J334" s="3">
        <v>845304.57</v>
      </c>
      <c r="K334" s="3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3">
        <v>243625.58</v>
      </c>
      <c r="J335" s="3">
        <v>171808.13</v>
      </c>
      <c r="K335" s="3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 s="3">
        <v>0</v>
      </c>
      <c r="J336" s="3">
        <v>4907.5200000000004</v>
      </c>
      <c r="K336" s="3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3">
        <v>2055000</v>
      </c>
      <c r="J337" s="3">
        <v>1175513.69</v>
      </c>
      <c r="K337" s="3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3">
        <v>4748331.8600000003</v>
      </c>
      <c r="J338" s="3">
        <v>6319040.4000000004</v>
      </c>
      <c r="K338" s="3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3">
        <v>104640</v>
      </c>
      <c r="J339" s="3">
        <v>165399.87</v>
      </c>
      <c r="K339" s="3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3">
        <v>140760</v>
      </c>
      <c r="J340" s="3">
        <v>395407.3</v>
      </c>
      <c r="K340" s="3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 s="3">
        <v>0</v>
      </c>
      <c r="J341" s="3">
        <v>198048.56</v>
      </c>
      <c r="K341" s="3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3">
        <v>100000</v>
      </c>
      <c r="J342" s="3">
        <v>0</v>
      </c>
      <c r="K342" s="3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3">
        <v>150000</v>
      </c>
      <c r="J343" s="3">
        <v>0</v>
      </c>
      <c r="K343" s="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3">
        <v>261635.85</v>
      </c>
      <c r="J344" s="3">
        <v>62125.42</v>
      </c>
      <c r="K344" s="3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3">
        <v>19828.400000000001</v>
      </c>
      <c r="J345" s="3">
        <v>19828.400000000001</v>
      </c>
      <c r="K345" s="3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3">
        <v>69163.13</v>
      </c>
      <c r="J346" s="3">
        <v>1952661.05</v>
      </c>
      <c r="K346" s="3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 s="3">
        <v>0</v>
      </c>
      <c r="J347" s="3">
        <v>646655.75</v>
      </c>
      <c r="K347" s="3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 s="3">
        <v>-1</v>
      </c>
      <c r="J348" s="3">
        <v>49734.2</v>
      </c>
      <c r="K348" s="3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3">
        <v>-1106.76</v>
      </c>
      <c r="J349" s="3">
        <v>0</v>
      </c>
      <c r="K349" s="3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3">
        <v>9499.65</v>
      </c>
      <c r="J350" s="3">
        <v>0</v>
      </c>
      <c r="K350" s="3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3">
        <v>904580.03</v>
      </c>
      <c r="J351" s="3">
        <v>904580.03</v>
      </c>
      <c r="K351" s="3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 s="3">
        <v>0</v>
      </c>
      <c r="J352" s="3">
        <v>364844.79999999999</v>
      </c>
      <c r="K352" s="3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 s="3">
        <v>0</v>
      </c>
      <c r="J353" s="3">
        <v>0</v>
      </c>
      <c r="K353" s="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 s="3">
        <v>0</v>
      </c>
      <c r="J354" s="3">
        <v>1487.4</v>
      </c>
      <c r="K354" s="3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3">
        <v>15554.91</v>
      </c>
      <c r="J355" s="3">
        <v>15554.91</v>
      </c>
      <c r="K355" s="3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3">
        <v>8331.44</v>
      </c>
      <c r="J356" s="3">
        <v>8331.44</v>
      </c>
      <c r="K356" s="3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3">
        <v>1000</v>
      </c>
      <c r="J357" s="3">
        <v>1000</v>
      </c>
      <c r="K357" s="3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 s="3">
        <v>833.14</v>
      </c>
      <c r="J358" s="3">
        <v>1018023.76</v>
      </c>
      <c r="K358" s="3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 s="3">
        <v>0</v>
      </c>
      <c r="J359" s="3">
        <v>1107497.03</v>
      </c>
      <c r="K359" s="3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3">
        <v>118477.7</v>
      </c>
      <c r="J360" s="3">
        <v>441458.33</v>
      </c>
      <c r="K360" s="3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3">
        <v>550000</v>
      </c>
      <c r="J361" s="3">
        <v>2562378.61</v>
      </c>
      <c r="K361" s="3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3">
        <v>3824253.71</v>
      </c>
      <c r="J362" s="3">
        <v>976295.27</v>
      </c>
      <c r="K362" s="3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 s="3">
        <v>0</v>
      </c>
      <c r="J363" s="3">
        <v>343010.84</v>
      </c>
      <c r="K363" s="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 s="3">
        <v>0</v>
      </c>
      <c r="J364" s="3">
        <v>371250</v>
      </c>
      <c r="K364" s="3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 s="3">
        <v>0</v>
      </c>
      <c r="J365" s="3">
        <v>0</v>
      </c>
      <c r="K365" s="3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 s="3">
        <v>0</v>
      </c>
      <c r="J366" s="3">
        <v>244503.92</v>
      </c>
      <c r="K366" s="3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 s="3">
        <v>0</v>
      </c>
      <c r="J367" s="3">
        <v>12499.5</v>
      </c>
      <c r="K367" s="3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3">
        <v>1564.9</v>
      </c>
      <c r="J368" s="3">
        <v>1564.9</v>
      </c>
      <c r="K368" s="3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3">
        <v>14310552.84</v>
      </c>
      <c r="J369" s="3">
        <v>14310552.84</v>
      </c>
      <c r="K369" s="3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3">
        <v>3280000</v>
      </c>
      <c r="J370" s="3">
        <v>1847875.96</v>
      </c>
      <c r="K370" s="3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3">
        <v>1980000</v>
      </c>
      <c r="J371" s="3">
        <v>0</v>
      </c>
      <c r="K371" s="3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 s="3">
        <v>0</v>
      </c>
      <c r="J372" s="3">
        <v>6549793.4400000004</v>
      </c>
      <c r="K372" s="3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3">
        <v>308278.17</v>
      </c>
      <c r="J373" s="3">
        <v>308278.17</v>
      </c>
      <c r="K373" s="3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3">
        <v>8726000</v>
      </c>
      <c r="J374" s="3">
        <v>0</v>
      </c>
      <c r="K374" s="3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 s="3">
        <v>-66.8</v>
      </c>
      <c r="J375" s="3">
        <v>330</v>
      </c>
      <c r="K375" s="3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3">
        <v>2922</v>
      </c>
      <c r="J376" s="3">
        <v>0</v>
      </c>
      <c r="K376" s="3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 s="3">
        <v>532.76</v>
      </c>
      <c r="J377" s="3">
        <v>0</v>
      </c>
      <c r="K377" s="3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3">
        <v>9114.27</v>
      </c>
      <c r="J378" s="3">
        <v>9114.27</v>
      </c>
      <c r="K378" s="3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 s="3">
        <v>0</v>
      </c>
      <c r="J379" s="3">
        <v>0</v>
      </c>
      <c r="K379" s="3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 s="3">
        <v>0</v>
      </c>
      <c r="J380" s="3">
        <v>4552.9799999999996</v>
      </c>
      <c r="K380" s="3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 s="3">
        <v>450</v>
      </c>
      <c r="J381" s="3">
        <v>51447.3</v>
      </c>
      <c r="K381" s="3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 s="3">
        <v>0</v>
      </c>
      <c r="J382" s="3">
        <v>4647.13</v>
      </c>
      <c r="K382" s="3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3">
        <v>101890</v>
      </c>
      <c r="J383" s="3">
        <v>18550</v>
      </c>
      <c r="K383" s="3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3">
        <v>20000</v>
      </c>
      <c r="J384" s="3">
        <v>20000</v>
      </c>
      <c r="K384" s="3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3">
        <v>1045</v>
      </c>
      <c r="J385" s="3">
        <v>0</v>
      </c>
      <c r="K385" s="3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3">
        <v>606177.36</v>
      </c>
      <c r="J386" s="3">
        <v>606177.36</v>
      </c>
      <c r="K386" s="3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3">
        <v>3906163.19</v>
      </c>
      <c r="J387" s="3">
        <v>3906163.19</v>
      </c>
      <c r="K387" s="3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3">
        <v>23860</v>
      </c>
      <c r="J388" s="3">
        <v>23860</v>
      </c>
      <c r="K388" s="3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 s="3">
        <v>0</v>
      </c>
      <c r="J389" s="3">
        <v>0</v>
      </c>
      <c r="K389" s="3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 s="3">
        <v>0</v>
      </c>
      <c r="J390" s="3">
        <v>0</v>
      </c>
      <c r="K390" s="3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 s="3">
        <v>0</v>
      </c>
      <c r="J391" s="3">
        <v>0</v>
      </c>
      <c r="K391" s="3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3">
        <v>3000</v>
      </c>
      <c r="J392" s="3">
        <v>3000</v>
      </c>
      <c r="K392" s="3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3">
        <v>11007.79</v>
      </c>
      <c r="J393" s="3">
        <v>2520.1799999999998</v>
      </c>
      <c r="K393" s="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3">
        <v>16721.400000000001</v>
      </c>
      <c r="J394" s="3">
        <v>16206.89</v>
      </c>
      <c r="K394" s="3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3">
        <v>7841.5</v>
      </c>
      <c r="J395" s="3">
        <v>10125.15</v>
      </c>
      <c r="K395" s="3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 s="3">
        <v>0</v>
      </c>
      <c r="J396" s="3">
        <v>504</v>
      </c>
      <c r="K396" s="3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3">
        <v>326100.64</v>
      </c>
      <c r="J397" s="3">
        <v>326100.64</v>
      </c>
      <c r="K397" s="3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3">
        <v>4655.7700000000004</v>
      </c>
      <c r="J398" s="3">
        <v>4655.7700000000004</v>
      </c>
      <c r="K398" s="3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 s="3">
        <v>0</v>
      </c>
      <c r="J399" s="3">
        <v>4400</v>
      </c>
      <c r="K399" s="3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3">
        <v>1357.89</v>
      </c>
      <c r="J400" s="3">
        <v>1357.89</v>
      </c>
      <c r="K400" s="3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3">
        <v>693178.18</v>
      </c>
      <c r="J401" s="3">
        <v>240194.11</v>
      </c>
      <c r="K401" s="3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3">
        <v>368247.39</v>
      </c>
      <c r="J402" s="3">
        <v>226708.14</v>
      </c>
      <c r="K402" s="3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3">
        <v>1609443.97</v>
      </c>
      <c r="J403" s="3">
        <v>293092.56</v>
      </c>
      <c r="K403" s="3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3">
        <v>73979.179999999993</v>
      </c>
      <c r="J404" s="3">
        <v>36989.589999999997</v>
      </c>
      <c r="K404" s="3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 s="3">
        <v>0</v>
      </c>
      <c r="J405" s="3">
        <v>0</v>
      </c>
      <c r="K405" s="3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 s="3">
        <v>0</v>
      </c>
      <c r="J406" s="3">
        <v>0</v>
      </c>
      <c r="K406" s="3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 s="3">
        <v>0</v>
      </c>
      <c r="J407" s="3">
        <v>0</v>
      </c>
      <c r="K407" s="3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3">
        <v>2367.1999999999998</v>
      </c>
      <c r="J408" s="3">
        <v>2367.1999999999998</v>
      </c>
      <c r="K408" s="3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3">
        <v>1894223.07</v>
      </c>
      <c r="J409" s="3">
        <v>1894223.07</v>
      </c>
      <c r="K409" s="3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3">
        <v>629182.07999999996</v>
      </c>
      <c r="J410" s="3">
        <v>629182.07999999996</v>
      </c>
      <c r="K410" s="3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3">
        <v>684176.82</v>
      </c>
      <c r="J411" s="3">
        <v>684176.82</v>
      </c>
      <c r="K411" s="3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3">
        <v>289689.17</v>
      </c>
      <c r="J412" s="3">
        <v>289689.17</v>
      </c>
      <c r="K412" s="3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3">
        <v>261973.71</v>
      </c>
      <c r="J413" s="3">
        <v>261973.71</v>
      </c>
      <c r="K413" s="3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3">
        <v>2377531.21</v>
      </c>
      <c r="J414" s="3">
        <v>2377531.21</v>
      </c>
      <c r="K414" s="3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 s="3">
        <v>0</v>
      </c>
      <c r="J415" s="3">
        <v>250169.23</v>
      </c>
      <c r="K415" s="3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 s="3">
        <v>0</v>
      </c>
      <c r="J416" s="3">
        <v>315198.28999999998</v>
      </c>
      <c r="K416" s="3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3">
        <v>4903652.34</v>
      </c>
      <c r="J417" s="3">
        <v>4903652.34</v>
      </c>
      <c r="K417" s="3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3">
        <v>1000000</v>
      </c>
      <c r="J418" s="3">
        <v>0</v>
      </c>
      <c r="K418" s="3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3">
        <v>34344.949999999997</v>
      </c>
      <c r="J419" s="3">
        <v>34344.949999999997</v>
      </c>
      <c r="K419" s="3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3">
        <v>14592925.970000001</v>
      </c>
      <c r="J420" s="3">
        <v>997130.9</v>
      </c>
      <c r="K420" s="3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3">
        <v>100824.86</v>
      </c>
      <c r="J421" s="3">
        <v>276997.83</v>
      </c>
      <c r="K421" s="3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3">
        <v>1056288.04</v>
      </c>
      <c r="J422" s="3">
        <v>1056288.04</v>
      </c>
      <c r="K422" s="3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3">
        <v>4483287.83</v>
      </c>
      <c r="J423" s="3">
        <v>4483287.83</v>
      </c>
      <c r="K423" s="3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3">
        <v>55926.239999999998</v>
      </c>
      <c r="J424" s="3">
        <v>55926.239999999998</v>
      </c>
      <c r="K424" s="3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3">
        <v>52847.31</v>
      </c>
      <c r="J425" s="3">
        <v>281659.82</v>
      </c>
      <c r="K425" s="3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 s="3">
        <v>979.7</v>
      </c>
      <c r="J426" s="3">
        <v>979.7</v>
      </c>
      <c r="K426" s="3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3">
        <v>269378.71000000002</v>
      </c>
      <c r="J427" s="3">
        <v>269378.71000000002</v>
      </c>
      <c r="K427" s="3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 s="3">
        <v>0</v>
      </c>
      <c r="J428" s="3">
        <v>1184574.1499999999</v>
      </c>
      <c r="K428" s="3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 s="3">
        <v>0</v>
      </c>
      <c r="J429" s="3">
        <v>230951.96</v>
      </c>
      <c r="K429" s="3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3">
        <v>15184356.82</v>
      </c>
      <c r="J430" s="3">
        <v>15184356.82</v>
      </c>
      <c r="K430" s="3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3">
        <v>18119247.41</v>
      </c>
      <c r="J431" s="3">
        <v>1647204.31</v>
      </c>
      <c r="K431" s="3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3">
        <v>213783.46</v>
      </c>
      <c r="J432" s="3">
        <v>213783.46</v>
      </c>
      <c r="K432" s="3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 s="3">
        <v>101.5</v>
      </c>
      <c r="J433" s="3">
        <v>0</v>
      </c>
      <c r="K433" s="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3">
        <v>1093.3699999999999</v>
      </c>
      <c r="J434" s="3">
        <v>1093.3699999999999</v>
      </c>
      <c r="K434" s="3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3">
        <v>35754.61</v>
      </c>
      <c r="J435" s="3">
        <v>10786.12</v>
      </c>
      <c r="K435" s="3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3">
        <v>3500</v>
      </c>
      <c r="J436" s="3">
        <v>3500</v>
      </c>
      <c r="K436" s="3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3">
        <v>6772.21</v>
      </c>
      <c r="J437" s="3">
        <v>869979.4</v>
      </c>
      <c r="K437" s="3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 s="3">
        <v>0</v>
      </c>
      <c r="J438" s="3">
        <v>119181.59</v>
      </c>
      <c r="K438" s="3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 s="3">
        <v>0</v>
      </c>
      <c r="J439" s="3">
        <v>217.84</v>
      </c>
      <c r="K439" s="3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 s="3">
        <v>0</v>
      </c>
      <c r="J440" s="3">
        <v>0</v>
      </c>
      <c r="K440" s="3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 s="3">
        <v>0</v>
      </c>
      <c r="J441" s="3">
        <v>30619.69</v>
      </c>
      <c r="K441" s="3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 s="3">
        <v>0</v>
      </c>
      <c r="J442" s="3">
        <v>389.9</v>
      </c>
      <c r="K442" s="3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3">
        <v>5737.12</v>
      </c>
      <c r="J443" s="3">
        <v>5737.12</v>
      </c>
      <c r="K443" s="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 s="3">
        <v>0</v>
      </c>
      <c r="J444" s="3">
        <v>10650.33</v>
      </c>
      <c r="K444" s="3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A24" sqref="A24"/>
    </sheetView>
  </sheetViews>
  <sheetFormatPr defaultRowHeight="15" x14ac:dyDescent="0.25"/>
  <cols>
    <col min="1" max="1" width="57.42578125" bestFit="1" customWidth="1"/>
    <col min="2" max="2" width="52.7109375" customWidth="1"/>
  </cols>
  <sheetData>
    <row r="1" spans="1:2" x14ac:dyDescent="0.25">
      <c r="A1" s="7" t="s">
        <v>565</v>
      </c>
      <c r="B1" t="s">
        <v>567</v>
      </c>
    </row>
    <row r="2" spans="1:2" x14ac:dyDescent="0.25">
      <c r="A2" s="6" t="s">
        <v>12</v>
      </c>
      <c r="B2" s="8">
        <v>67673.06</v>
      </c>
    </row>
    <row r="3" spans="1:2" x14ac:dyDescent="0.25">
      <c r="A3" s="6" t="s">
        <v>464</v>
      </c>
      <c r="B3" s="8">
        <v>474178.14999999997</v>
      </c>
    </row>
    <row r="4" spans="1:2" x14ac:dyDescent="0.25">
      <c r="A4" s="6" t="s">
        <v>548</v>
      </c>
      <c r="B4" s="8">
        <v>924217.23</v>
      </c>
    </row>
    <row r="5" spans="1:2" x14ac:dyDescent="0.25">
      <c r="A5" s="6" t="s">
        <v>52</v>
      </c>
      <c r="B5" s="8">
        <v>1182770.0299999998</v>
      </c>
    </row>
    <row r="6" spans="1:2" x14ac:dyDescent="0.25">
      <c r="A6" s="6" t="s">
        <v>92</v>
      </c>
      <c r="B6" s="8">
        <v>1644914.53</v>
      </c>
    </row>
    <row r="7" spans="1:2" x14ac:dyDescent="0.25">
      <c r="A7" s="6" t="s">
        <v>115</v>
      </c>
      <c r="B7" s="8">
        <v>2361341.12</v>
      </c>
    </row>
    <row r="8" spans="1:2" x14ac:dyDescent="0.25">
      <c r="A8" s="6" t="s">
        <v>18</v>
      </c>
      <c r="B8" s="8">
        <v>3049447.7499999995</v>
      </c>
    </row>
    <row r="9" spans="1:2" x14ac:dyDescent="0.25">
      <c r="A9" s="6" t="s">
        <v>486</v>
      </c>
      <c r="B9" s="8">
        <v>5438913.9299999978</v>
      </c>
    </row>
    <row r="10" spans="1:2" x14ac:dyDescent="0.25">
      <c r="A10" s="6" t="s">
        <v>236</v>
      </c>
      <c r="B10" s="8">
        <v>5975771.5599999996</v>
      </c>
    </row>
    <row r="11" spans="1:2" x14ac:dyDescent="0.25">
      <c r="A11" s="6" t="s">
        <v>262</v>
      </c>
      <c r="B11" s="8">
        <v>8654354.950000003</v>
      </c>
    </row>
    <row r="12" spans="1:2" x14ac:dyDescent="0.25">
      <c r="A12" s="6" t="s">
        <v>74</v>
      </c>
      <c r="B12" s="8">
        <v>8665883.370000001</v>
      </c>
    </row>
    <row r="13" spans="1:2" x14ac:dyDescent="0.25">
      <c r="A13" s="6" t="s">
        <v>291</v>
      </c>
      <c r="B13" s="8">
        <v>25107843.960000001</v>
      </c>
    </row>
    <row r="14" spans="1:2" x14ac:dyDescent="0.25">
      <c r="A14" s="6" t="s">
        <v>438</v>
      </c>
      <c r="B14" s="8">
        <v>30679165.420000002</v>
      </c>
    </row>
    <row r="15" spans="1:2" x14ac:dyDescent="0.25">
      <c r="A15" s="6" t="s">
        <v>510</v>
      </c>
      <c r="B15" s="8">
        <v>37463150.299999997</v>
      </c>
    </row>
    <row r="16" spans="1:2" x14ac:dyDescent="0.25">
      <c r="A16" s="6" t="s">
        <v>310</v>
      </c>
      <c r="B16" s="8">
        <v>84243777.629999995</v>
      </c>
    </row>
    <row r="17" spans="1:2" x14ac:dyDescent="0.25">
      <c r="A17" s="6" t="s">
        <v>131</v>
      </c>
      <c r="B17" s="8">
        <v>97415941.840000004</v>
      </c>
    </row>
    <row r="18" spans="1:2" x14ac:dyDescent="0.25">
      <c r="A18" s="6" t="s">
        <v>566</v>
      </c>
      <c r="B18" s="8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="136" zoomScaleNormal="136" workbookViewId="0">
      <selection sqref="A1:C17"/>
    </sheetView>
  </sheetViews>
  <sheetFormatPr defaultRowHeight="15" x14ac:dyDescent="0.25"/>
  <cols>
    <col min="1" max="1" width="56.85546875" customWidth="1"/>
    <col min="2" max="2" width="27" style="4" customWidth="1"/>
    <col min="3" max="3" width="24.140625" style="6" customWidth="1"/>
  </cols>
  <sheetData>
    <row r="1" spans="1:3" x14ac:dyDescent="0.25">
      <c r="A1" s="1" t="s">
        <v>3</v>
      </c>
      <c r="B1" s="4" t="s">
        <v>563</v>
      </c>
      <c r="C1" s="6" t="s">
        <v>564</v>
      </c>
    </row>
    <row r="2" spans="1:3" x14ac:dyDescent="0.25">
      <c r="A2" s="2" t="s">
        <v>12</v>
      </c>
      <c r="B2" s="5">
        <f>SUMIF(Tabela1[[#All],[Secretaria]],analise!A2,Tabela1[[#All],[Pago  (R$)]])</f>
        <v>67673.06</v>
      </c>
      <c r="C2" s="6">
        <f>COUNTIF(Tabela1[[#All],[Secretaria]],Tabela4[[#This Row],[Secretaria]])</f>
        <v>1</v>
      </c>
    </row>
    <row r="3" spans="1:3" x14ac:dyDescent="0.25">
      <c r="A3" s="2" t="s">
        <v>18</v>
      </c>
      <c r="B3" s="5">
        <f>SUMIF(Tabela1[[#All],[Secretaria]],analise!A3,Tabela1[[#All],[Pago  (R$)]])</f>
        <v>3049447.7499999995</v>
      </c>
      <c r="C3" s="6">
        <f>COUNTIF(Tabela1[[#All],[Secretaria]],Tabela4[[#This Row],[Secretaria]])</f>
        <v>21</v>
      </c>
    </row>
    <row r="4" spans="1:3" x14ac:dyDescent="0.25">
      <c r="A4" s="2" t="s">
        <v>52</v>
      </c>
      <c r="B4" s="5">
        <f>SUMIF(Tabela1[[#All],[Secretaria]],analise!A4,Tabela1[[#All],[Pago  (R$)]])</f>
        <v>1182770.0299999998</v>
      </c>
      <c r="C4" s="6">
        <f>COUNTIF(Tabela1[[#All],[Secretaria]],Tabela4[[#This Row],[Secretaria]])</f>
        <v>16</v>
      </c>
    </row>
    <row r="5" spans="1:3" x14ac:dyDescent="0.25">
      <c r="A5" s="2" t="s">
        <v>74</v>
      </c>
      <c r="B5" s="5">
        <f>SUMIF(Tabela1[[#All],[Secretaria]],analise!A5,Tabela1[[#All],[Pago  (R$)]])</f>
        <v>8665883.370000001</v>
      </c>
      <c r="C5" s="6">
        <f>COUNTIF(Tabela1[[#All],[Secretaria]],Tabela4[[#This Row],[Secretaria]])</f>
        <v>16</v>
      </c>
    </row>
    <row r="6" spans="1:3" x14ac:dyDescent="0.25">
      <c r="A6" s="2" t="s">
        <v>92</v>
      </c>
      <c r="B6" s="5">
        <f>SUMIF(Tabela1[[#All],[Secretaria]],analise!A6,Tabela1[[#All],[Pago  (R$)]])</f>
        <v>1644914.53</v>
      </c>
      <c r="C6" s="6">
        <f>COUNTIF(Tabela1[[#All],[Secretaria]],Tabela4[[#This Row],[Secretaria]])</f>
        <v>16</v>
      </c>
    </row>
    <row r="7" spans="1:3" x14ac:dyDescent="0.25">
      <c r="A7" s="2" t="s">
        <v>115</v>
      </c>
      <c r="B7" s="5">
        <f>SUMIF(Tabela1[[#All],[Secretaria]],analise!A7,Tabela1[[#All],[Pago  (R$)]])</f>
        <v>2361341.12</v>
      </c>
      <c r="C7" s="6">
        <f>COUNTIF(Tabela1[[#All],[Secretaria]],Tabela4[[#This Row],[Secretaria]])</f>
        <v>13</v>
      </c>
    </row>
    <row r="8" spans="1:3" x14ac:dyDescent="0.25">
      <c r="A8" s="2" t="s">
        <v>131</v>
      </c>
      <c r="B8" s="5">
        <f>SUMIF(Tabela1[[#All],[Secretaria]],analise!A8,Tabela1[[#All],[Pago  (R$)]])</f>
        <v>97415941.840000004</v>
      </c>
      <c r="C8" s="6">
        <f>COUNTIF(Tabela1[[#All],[Secretaria]],Tabela4[[#This Row],[Secretaria]])</f>
        <v>88</v>
      </c>
    </row>
    <row r="9" spans="1:3" x14ac:dyDescent="0.25">
      <c r="A9" s="2" t="s">
        <v>236</v>
      </c>
      <c r="B9" s="5">
        <f>SUMIF(Tabela1[[#All],[Secretaria]],analise!A9,Tabela1[[#All],[Pago  (R$)]])</f>
        <v>5975771.5599999996</v>
      </c>
      <c r="C9" s="6">
        <f>COUNTIF(Tabela1[[#All],[Secretaria]],Tabela4[[#This Row],[Secretaria]])</f>
        <v>23</v>
      </c>
    </row>
    <row r="10" spans="1:3" x14ac:dyDescent="0.25">
      <c r="A10" s="2" t="s">
        <v>262</v>
      </c>
      <c r="B10" s="5">
        <f>SUMIF(Tabela1[[#All],[Secretaria]],analise!A10,Tabela1[[#All],[Pago  (R$)]])</f>
        <v>8654354.950000003</v>
      </c>
      <c r="C10" s="6">
        <f>COUNTIF(Tabela1[[#All],[Secretaria]],Tabela4[[#This Row],[Secretaria]])</f>
        <v>25</v>
      </c>
    </row>
    <row r="11" spans="1:3" x14ac:dyDescent="0.25">
      <c r="A11" s="2" t="s">
        <v>291</v>
      </c>
      <c r="B11" s="5">
        <f>SUMIF(Tabela1[[#All],[Secretaria]],analise!A11,Tabela1[[#All],[Pago  (R$)]])</f>
        <v>25107843.960000001</v>
      </c>
      <c r="C11" s="6">
        <f>COUNTIF(Tabela1[[#All],[Secretaria]],Tabela4[[#This Row],[Secretaria]])</f>
        <v>15</v>
      </c>
    </row>
    <row r="12" spans="1:3" x14ac:dyDescent="0.25">
      <c r="A12" s="2" t="s">
        <v>310</v>
      </c>
      <c r="B12" s="5">
        <f>SUMIF(Tabela1[[#All],[Secretaria]],analise!A12,Tabela1[[#All],[Pago  (R$)]])</f>
        <v>84243777.629999995</v>
      </c>
      <c r="C12" s="6">
        <f>COUNTIF(Tabela1[[#All],[Secretaria]],Tabela4[[#This Row],[Secretaria]])</f>
        <v>115</v>
      </c>
    </row>
    <row r="13" spans="1:3" x14ac:dyDescent="0.25">
      <c r="A13" s="2" t="s">
        <v>438</v>
      </c>
      <c r="B13" s="5">
        <f>SUMIF(Tabela1[[#All],[Secretaria]],analise!A13,Tabela1[[#All],[Pago  (R$)]])</f>
        <v>30679165.420000002</v>
      </c>
      <c r="C13" s="6">
        <f>COUNTIF(Tabela1[[#All],[Secretaria]],Tabela4[[#This Row],[Secretaria]])</f>
        <v>22</v>
      </c>
    </row>
    <row r="14" spans="1:3" x14ac:dyDescent="0.25">
      <c r="A14" s="2" t="s">
        <v>464</v>
      </c>
      <c r="B14" s="5">
        <f>SUMIF(Tabela1[[#All],[Secretaria]],analise!A14,Tabela1[[#All],[Pago  (R$)]])</f>
        <v>474178.14999999997</v>
      </c>
      <c r="C14" s="6">
        <f>COUNTIF(Tabela1[[#All],[Secretaria]],Tabela4[[#This Row],[Secretaria]])</f>
        <v>14</v>
      </c>
    </row>
    <row r="15" spans="1:3" x14ac:dyDescent="0.25">
      <c r="A15" s="2" t="s">
        <v>486</v>
      </c>
      <c r="B15" s="5">
        <f>SUMIF(Tabela1[[#All],[Secretaria]],analise!A15,Tabela1[[#All],[Pago  (R$)]])</f>
        <v>5438913.9299999978</v>
      </c>
      <c r="C15" s="6">
        <f>COUNTIF(Tabela1[[#All],[Secretaria]],Tabela4[[#This Row],[Secretaria]])</f>
        <v>21</v>
      </c>
    </row>
    <row r="16" spans="1:3" x14ac:dyDescent="0.25">
      <c r="A16" s="2" t="s">
        <v>510</v>
      </c>
      <c r="B16" s="5">
        <f>SUMIF(Tabela1[[#All],[Secretaria]],analise!A16,Tabela1[[#All],[Pago  (R$)]])</f>
        <v>37463150.299999997</v>
      </c>
      <c r="C16" s="6">
        <f>COUNTIF(Tabela1[[#All],[Secretaria]],Tabela4[[#This Row],[Secretaria]])</f>
        <v>24</v>
      </c>
    </row>
    <row r="17" spans="1:3" x14ac:dyDescent="0.25">
      <c r="A17" s="2" t="s">
        <v>548</v>
      </c>
      <c r="B17" s="5">
        <f>SUMIF(Tabela1[[#All],[Secretaria]],analise!A17,Tabela1[[#All],[Pago  (R$)]])</f>
        <v>924217.23</v>
      </c>
      <c r="C17" s="6">
        <f>COUNTIF(Tabela1[[#All],[Secretaria]],Tabela4[[#This Row],[Secretaria]])</f>
        <v>13</v>
      </c>
    </row>
    <row r="18" spans="1:3" x14ac:dyDescent="0.25">
      <c r="A18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analise 2.0</vt:lpstr>
      <vt:lpstr>analise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2026-03-13T23:51:18Z</dcterms:created>
  <dcterms:modified xsi:type="dcterms:W3CDTF">2026-03-14T00:57:03Z</dcterms:modified>
</cp:coreProperties>
</file>